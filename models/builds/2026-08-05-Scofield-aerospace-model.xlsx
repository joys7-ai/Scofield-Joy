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egend" sheetId="2" state="visible" r:id="rId4"/>
    <sheet name="Inputs" sheetId="3" state="visible" r:id="rId5"/>
    <sheet name="Forward" sheetId="4" state="visible" r:id="rId6"/>
    <sheet name="MoneyMarket" sheetId="5" state="visible" r:id="rId7"/>
    <sheet name="Options" sheetId="6" state="visible" r:id="rId8"/>
    <sheet name="Sensitivity" sheetId="7" state="visible" r:id="rId9"/>
    <sheet name="Notes" sheetId="8" state="visible" r:id="rId10"/>
  </sheets>
  <definedNames>
    <definedName function="false" hidden="false" name="BASIS" vbProcedure="false">Inputs!$C$10</definedName>
    <definedName function="false" hidden="false" name="DF_FC" vbProcedure="false">Inputs!$C$20</definedName>
    <definedName function="false" hidden="false" name="DF_USD" vbProcedure="false">Inputs!$C$19</definedName>
    <definedName function="false" hidden="false" name="F0_in" vbProcedure="false">Inputs!$C$6</definedName>
    <definedName function="false" hidden="false" name="FC_AMT" vbProcedure="false">Inputs!$C$4</definedName>
    <definedName function="false" hidden="false" name="FV_PREM_CALL" vbProcedure="false">Inputs!$C$22</definedName>
    <definedName function="false" hidden="false" name="FV_PREM_PUT" vbProcedure="false">Inputs!$C$21</definedName>
    <definedName function="false" hidden="false" name="K_CALL" vbProcedure="false">Inputs!$C$12</definedName>
    <definedName function="false" hidden="false" name="K_PUT" vbProcedure="false">Inputs!$C$11</definedName>
    <definedName function="false" hidden="false" name="PREM_CALL" vbProcedure="false">Inputs!$C$14</definedName>
    <definedName function="false" hidden="false" name="PREM_PUT" vbProcedure="false">Inputs!$C$13</definedName>
    <definedName function="false" hidden="false" name="R_FC" vbProcedure="false">Inputs!$C$8</definedName>
    <definedName function="false" hidden="false" name="R_USD" vbProcedure="false">Inputs!$C$7</definedName>
    <definedName function="false" hidden="false" name="S0_in" vbProcedure="false">Inputs!$C$5</definedName>
    <definedName function="false" hidden="false" name="STEP_FRAC" vbProcedure="false">Inputs!$C$15</definedName>
    <definedName function="false" hidden="false" name="T_DAYS" vbProcedure="false">Inputs!$C$9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<sst xmlns="http://schemas.openxmlformats.org/spreadsheetml/2006/main" count="203" uniqueCount="171">
  <si>
    <t xml:space="preserve">Aerospace Manufacturer, Inc.</t>
  </si>
  <si>
    <t xml:space="preserve">FX Transaction Hedge Model — EUR 20,000,000 Receivable</t>
  </si>
  <si>
    <t xml:space="preserve">FIN-321 International Finance &amp; Securities — Stage 3 AI-Assisted Build</t>
  </si>
  <si>
    <t xml:space="preserve">Prepared by</t>
  </si>
  <si>
    <t xml:space="preserve">Joy Scofield</t>
  </si>
  <si>
    <t xml:space="preserve">Date</t>
  </si>
  <si>
    <t xml:space="preserve">2026-07-30</t>
  </si>
  <si>
    <t xml:space="preserve">Scenario</t>
  </si>
  <si>
    <t xml:space="preserve">#20 — Aerospace Manufacturer (Scenario 4)</t>
  </si>
  <si>
    <t xml:space="preserve">Exposure</t>
  </si>
  <si>
    <t xml:space="preserve">EUR 20,000,000 receivable, 365-day settlement</t>
  </si>
  <si>
    <t xml:space="preserve">Companion Spec</t>
  </si>
  <si>
    <t xml:space="preserve">docs/specs/2026-07-30-Scofield-aerospace-spec.md</t>
  </si>
  <si>
    <t xml:space="preserve">Data Provenance</t>
  </si>
  <si>
    <t xml:space="preserve">All market inputs (spot, rates, strikes) are INDICATIVE placeholders, sourced and</t>
  </si>
  <si>
    <t xml:space="preserve">timestamped as of 2026-07-30 (see Inputs tab, column E). They will be replaced with</t>
  </si>
  <si>
    <t xml:space="preserve">live, verified market data at Stage 4. The forward rate and option premiums are</t>
  </si>
  <si>
    <t xml:space="preserve">course-assigned (Scenario 4) and are not derived from the spot/rate inputs — see</t>
  </si>
  <si>
    <t xml:space="preserve">Notes &amp; Assumptions tab for the resulting parity-check gap.</t>
  </si>
  <si>
    <t xml:space="preserve">Legend / Key</t>
  </si>
  <si>
    <t xml:space="preserve">Color Convention (applied throughout this workbook)</t>
  </si>
  <si>
    <t xml:space="preserve">Yellow fill</t>
  </si>
  <si>
    <t xml:space="preserve">Input — raw market/contract data, hardcoded</t>
  </si>
  <si>
    <t xml:space="preserve">Blue text</t>
  </si>
  <si>
    <t xml:space="preserve">Assumption — analyst-set scenario knob</t>
  </si>
  <si>
    <t xml:space="preserve">Green text</t>
  </si>
  <si>
    <t xml:space="preserve">Formula — computed value, references named ranges</t>
  </si>
  <si>
    <t xml:space="preserve">Gray fill</t>
  </si>
  <si>
    <t xml:space="preserve">Output — headline result reported to the CFO</t>
  </si>
  <si>
    <t xml:space="preserve">Named Range Glossary</t>
  </si>
  <si>
    <t xml:space="preserve">FC_AMT</t>
  </si>
  <si>
    <t xml:space="preserve">Foreign-currency receivable (EUR)</t>
  </si>
  <si>
    <t xml:space="preserve">S0_in</t>
  </si>
  <si>
    <t xml:space="preserve">Spot rate at inception (USD per EUR)</t>
  </si>
  <si>
    <t xml:space="preserve">F0_in</t>
  </si>
  <si>
    <t xml:space="preserve">Forward rate to settlement (USD per EUR)</t>
  </si>
  <si>
    <t xml:space="preserve">R_USD</t>
  </si>
  <si>
    <t xml:space="preserve">USD interest rate to settlement (annual %)</t>
  </si>
  <si>
    <t xml:space="preserve">R_FC</t>
  </si>
  <si>
    <t xml:space="preserve">EUR interest rate to settlement (annual %)</t>
  </si>
  <si>
    <t xml:space="preserve">T_DAYS</t>
  </si>
  <si>
    <t xml:space="preserve">Days to settlement</t>
  </si>
  <si>
    <t xml:space="preserve">BASIS</t>
  </si>
  <si>
    <t xml:space="preserve">Day-count denominator, both legs (ACT/360)</t>
  </si>
  <si>
    <t xml:space="preserve">K_PUT</t>
  </si>
  <si>
    <t xml:space="preserve">Put option strike (USD per EUR)</t>
  </si>
  <si>
    <t xml:space="preserve">K_CALL</t>
  </si>
  <si>
    <t xml:space="preserve">Call option strike (USD per EUR, reference)</t>
  </si>
  <si>
    <t xml:space="preserve">PREM_PUT</t>
  </si>
  <si>
    <t xml:space="preserve">Put premium, USD per 1 EUR</t>
  </si>
  <si>
    <t xml:space="preserve">PREM_CALL</t>
  </si>
  <si>
    <t xml:space="preserve">Call premium, USD per 1 EUR (reference)</t>
  </si>
  <si>
    <t xml:space="preserve">DF_USD</t>
  </si>
  <si>
    <t xml:space="preserve">USD accumulation factor to settlement (derived)</t>
  </si>
  <si>
    <t xml:space="preserve">DF_FC</t>
  </si>
  <si>
    <t xml:space="preserve">EUR accumulation factor to settlement (derived)</t>
  </si>
  <si>
    <t xml:space="preserve">FV_PREM_PUT</t>
  </si>
  <si>
    <t xml:space="preserve">Future value of put premium at settlement (derived)</t>
  </si>
  <si>
    <t xml:space="preserve">FV_PREM_CALL</t>
  </si>
  <si>
    <t xml:space="preserve">Future value of call premium at settlement (derived)</t>
  </si>
  <si>
    <t xml:space="preserve">STEP_FRAC</t>
  </si>
  <si>
    <t xml:space="preserve">Sensitivity grid step size (1%)</t>
  </si>
  <si>
    <t xml:space="preserve">Inputs — Named Range Contract</t>
  </si>
  <si>
    <t xml:space="preserve">Named Range</t>
  </si>
  <si>
    <t xml:space="preserve">Description</t>
  </si>
  <si>
    <t xml:space="preserve">Value</t>
  </si>
  <si>
    <t xml:space="preserve">Unit</t>
  </si>
  <si>
    <t xml:space="preserve">Source</t>
  </si>
  <si>
    <t xml:space="preserve">Foreign-currency receivable</t>
  </si>
  <si>
    <t xml:space="preserve">EUR</t>
  </si>
  <si>
    <t xml:space="preserve">Contract terms (fixed, not market-sourced)</t>
  </si>
  <si>
    <t xml:space="preserve">Spot rate at inception</t>
  </si>
  <si>
    <t xml:space="preserve">USD per EUR</t>
  </si>
  <si>
    <t xml:space="preserve">EURUSD spot, Investing.com, accessed 2026-07-30 — INDICATIVE</t>
  </si>
  <si>
    <t xml:space="preserve">Forward rate to settlement</t>
  </si>
  <si>
    <t xml:space="preserve">Course-assigned (Scenario 4, Aerospace) — INDICATIVE</t>
  </si>
  <si>
    <t xml:space="preserve">USD interest rate to settlement</t>
  </si>
  <si>
    <t xml:space="preserve">Annual %, ACT/360</t>
  </si>
  <si>
    <t xml:space="preserve">Effective Fed funds rate, accessed 2026-07-30 — INDICATIVE</t>
  </si>
  <si>
    <t xml:space="preserve">EUR interest rate to settlement</t>
  </si>
  <si>
    <t xml:space="preserve">ECB deposit facility rate (eff. 17 Jun 2026), accessed 2026-07-30 — INDICATIVE</t>
  </si>
  <si>
    <t xml:space="preserve">Days</t>
  </si>
  <si>
    <t xml:space="preserve">Contract terms (fixed)</t>
  </si>
  <si>
    <t xml:space="preserve">Day-count denominator, both legs</t>
  </si>
  <si>
    <t xml:space="preserve">ACT/360 — per Stage 2 assignment's worked formula</t>
  </si>
  <si>
    <t xml:space="preserve">Put option strike</t>
  </si>
  <si>
    <t xml:space="preserve">Set at spot (ATM) per course guidance — INDICATIVE</t>
  </si>
  <si>
    <t xml:space="preserve">Call option strike (reference)</t>
  </si>
  <si>
    <t xml:space="preserve">Set at spot (ATM), reference only — INDICATIVE</t>
  </si>
  <si>
    <t xml:space="preserve">USD</t>
  </si>
  <si>
    <t xml:space="preserve">Course-assigned (Scenario 4) — INDICATIVE</t>
  </si>
  <si>
    <t xml:space="preserve">Sensitivity grid step size</t>
  </si>
  <si>
    <t xml:space="preserve">Fraction</t>
  </si>
  <si>
    <t xml:space="preserve">Assignment spec: 1% steps</t>
  </si>
  <si>
    <t xml:space="preserve">Derived Values</t>
  </si>
  <si>
    <t xml:space="preserve">Formula (named-range notation)</t>
  </si>
  <si>
    <t xml:space="preserve">USD accumulation factor to settlement</t>
  </si>
  <si>
    <t xml:space="preserve">1 + R_USD × T_DAYS / BASIS</t>
  </si>
  <si>
    <t xml:space="preserve">EUR accumulation factor to settlement</t>
  </si>
  <si>
    <t xml:space="preserve">1 + R_FC × T_DAYS / BASIS</t>
  </si>
  <si>
    <t xml:space="preserve">Future value of put premium at settlement</t>
  </si>
  <si>
    <t xml:space="preserve">−PREM_PUT × FC_AMT × DF_USD</t>
  </si>
  <si>
    <t xml:space="preserve">Future value of call premium at settlement (reference)</t>
  </si>
  <si>
    <t xml:space="preserve">−PREM_CALL × FC_AMT × DF_USD</t>
  </si>
  <si>
    <t xml:space="preserve">Forward Hedge</t>
  </si>
  <si>
    <t xml:space="preserve">Locks in today's forward rate for delivery at settlement.</t>
  </si>
  <si>
    <t xml:space="preserve">USD Proceeds (locked)</t>
  </si>
  <si>
    <t xml:space="preserve">Formula: FC_AMT x F0_in</t>
  </si>
  <si>
    <t xml:space="preserve">Note: This value is invariant across the S_T sensitivity grid — the forward</t>
  </si>
  <si>
    <t xml:space="preserve">hedge removes all exposure to future spot movements.</t>
  </si>
  <si>
    <t xml:space="preserve">Money Market Hedge</t>
  </si>
  <si>
    <t xml:space="preserve">Replicates the forward via borrow / convert / invest — three explicit steps.</t>
  </si>
  <si>
    <t xml:space="preserve">Step 1 — Borrow EUR today</t>
  </si>
  <si>
    <t xml:space="preserve">Borrow (EUR)</t>
  </si>
  <si>
    <t xml:space="preserve">Formula: FC_AMT / DF_FC</t>
  </si>
  <si>
    <t xml:space="preserve">Step 2 — Convert at spot</t>
  </si>
  <si>
    <t xml:space="preserve">USD Now</t>
  </si>
  <si>
    <t xml:space="preserve">Formula: Borrow x S0_in</t>
  </si>
  <si>
    <t xml:space="preserve">Step 3 — Invest in USD to settlement</t>
  </si>
  <si>
    <t xml:space="preserve">USD Proceeds (Money Market)</t>
  </si>
  <si>
    <t xml:space="preserve">Formula: USD Now x DF_USD</t>
  </si>
  <si>
    <t xml:space="preserve">Parity Check</t>
  </si>
  <si>
    <t xml:space="preserve">F_implied (from S0_in, R_USD, R_FC)</t>
  </si>
  <si>
    <t xml:space="preserve">F0_in (given, course-assigned)</t>
  </si>
  <si>
    <t xml:space="preserve">Difference (F_implied − F0_in)</t>
  </si>
  <si>
    <t xml:space="preserve">Parity check (tol. 0.01)</t>
  </si>
  <si>
    <t xml:space="preserve">Options Hedge — Put (primary) and Call (reference)</t>
  </si>
  <si>
    <t xml:space="preserve">Put is the primary hedge for this receivable (protective floor). Call payoff shown for reference</t>
  </si>
  <si>
    <t xml:space="preserve">as the payable-side analog — not the recommended hedge for this exposure.</t>
  </si>
  <si>
    <t xml:space="preserve">n</t>
  </si>
  <si>
    <t xml:space="preserve">S_T</t>
  </si>
  <si>
    <t xml:space="preserve">No Hedge</t>
  </si>
  <si>
    <t xml:space="preserve">Put Proceeds</t>
  </si>
  <si>
    <t xml:space="preserve">Call Proceeds (ref.)</t>
  </si>
  <si>
    <t xml:space="preserve">USD_FLOOR_PUT (worst-case put outcome on grid)</t>
  </si>
  <si>
    <t xml:space="preserve">Sensitivity Analysis</t>
  </si>
  <si>
    <t xml:space="preserve">S_T grid: S0_in × (1 ± 5%) in 1% steps (11 rows).</t>
  </si>
  <si>
    <t xml:space="preserve">Strategy Summary (base case, S_T = S0_in)</t>
  </si>
  <si>
    <t xml:space="preserve">USD_BASE_NoHedge</t>
  </si>
  <si>
    <t xml:space="preserve">USD_FWD (Forward)</t>
  </si>
  <si>
    <t xml:space="preserve">USD_MM (Money Market)</t>
  </si>
  <si>
    <t xml:space="preserve">USD_BASE_PUT (Option, at S0_in)</t>
  </si>
  <si>
    <t xml:space="preserve">USD_FLOOR_PUT (Option, worst case)</t>
  </si>
  <si>
    <t xml:space="preserve">Forward</t>
  </si>
  <si>
    <t xml:space="preserve">Money Market</t>
  </si>
  <si>
    <t xml:space="preserve">Option (Put)</t>
  </si>
  <si>
    <t xml:space="preserve">Profit vs No Hedge: Fwd</t>
  </si>
  <si>
    <t xml:space="preserve">Profit vs No Hedge: MM</t>
  </si>
  <si>
    <t xml:space="preserve">Profit vs No Hedge: Put</t>
  </si>
  <si>
    <t xml:space="preserve">Best Active Hedge</t>
  </si>
  <si>
    <t xml:space="preserve">Notes &amp; Assumptions</t>
  </si>
  <si>
    <t xml:space="preserve">Quote convention: all rates expressed as USD per EUR. A higher quote means EUR appreciation.</t>
  </si>
  <si>
    <t xml:space="preserve">Horizon: single-maturity model; T_DAYS = 365.</t>
  </si>
  <si>
    <t xml:space="preserve">Day-count basis: BASIS = 360 (ACT/360), applied to both USD and EUR legs, matching the</t>
  </si>
  <si>
    <t xml:space="preserve">  Stage 2 assignment's explicit worked formula (R_FC × T_DAYS/360, R_USD × T_DAYS/360).</t>
  </si>
  <si>
    <t xml:space="preserve">Parity: F0_in is course-assigned (Scenario 4), not derived from S0_in/R_USD/R_FC. The</t>
  </si>
  <si>
    <t xml:space="preserve">  Money Market tab's parity check is therefore expected to show a gap at this stage — it</t>
  </si>
  <si>
    <t xml:space="preserve">  becomes a closable, live check only once Stage 4 replaces all four inputs with mutually</t>
  </si>
  <si>
    <t xml:space="preserve">  consistent market data.</t>
  </si>
  <si>
    <t xml:space="preserve">Option premium: paid upfront in USD, quoted per 1 unit of EUR (no contract multiplier).</t>
  </si>
  <si>
    <t xml:space="preserve">  Carried forward at R_USD to FV_PREM_PUT / FV_PREM_CALL.</t>
  </si>
  <si>
    <t xml:space="preserve">Counterparty / credit risk: excluded.</t>
  </si>
  <si>
    <t xml:space="preserve">Transaction costs &amp; bid-ask spreads: excluded from the base case.</t>
  </si>
  <si>
    <t xml:space="preserve">Tax / accounting treatment: excluded. Pre-tax cash outcomes only.</t>
  </si>
  <si>
    <t xml:space="preserve">Scenario construction: S_T varied deterministically across an 11-point grid; no</t>
  </si>
  <si>
    <t xml:space="preserve">  probability weights applied.</t>
  </si>
  <si>
    <t xml:space="preserve">Data sources (all accessed 2026-07-30, INDICATIVE — replaced at Stage 4):</t>
  </si>
  <si>
    <t xml:space="preserve">  S0_in: EURUSD spot, Investing.com</t>
  </si>
  <si>
    <t xml:space="preserve">  R_USD: effective Fed funds rate</t>
  </si>
  <si>
    <t xml:space="preserve">  R_FC: ECB deposit facility rate (effective 17 Jun 2026)</t>
  </si>
  <si>
    <t xml:space="preserve">  F0_in, PREM_PUT, PREM_CALL: course-assigned, Scenario 4 (Aerospace Manufacturer)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</si>
</sst>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EUR&quot;"/>
    <numFmt numFmtId="166" formatCode="0.0000"/>
    <numFmt numFmtId="167" formatCode="0.00%"/>
    <numFmt numFmtId="168" formatCode="\$#,##0.000"/>
    <numFmt numFmtId="169" formatCode="0%"/>
    <numFmt numFmtId="170" formatCode="0.000000"/>
    <numFmt numFmtId="171" formatCode="\$#,##0"/>
    <numFmt numFmtId="172" formatCode="\$#,##0;&quot;($&quot;#,##0\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24731"/>
      <name val="Arial"/>
      <family val="0"/>
      <charset val="1"/>
    </font>
    <font>
      <sz val="12"/>
      <color rgb="FF000000"/>
      <name val="Arial"/>
      <family val="0"/>
      <charset val="1"/>
    </font>
    <font>
      <i val="true"/>
      <sz val="10"/>
      <color rgb="FF52525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Consolas"/>
      <family val="0"/>
      <charset val="1"/>
    </font>
    <font>
      <b val="true"/>
      <sz val="11"/>
      <name val="Consola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24731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24731"/>
      <rgbColor rgb="FF333300"/>
      <rgbColor rgb="FF993300"/>
      <rgbColor rgb="FF993366"/>
      <rgbColor rgb="FF333399"/>
      <rgbColor rgb="FF5252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 Outcome vs. Ending Spot (S_T)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Sensitivity!C12</c:f>
              <c:strCache>
                <c:ptCount val="1"/>
                <c:pt idx="0">
                  <c:v>No Hedge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Sensitivity!$B$13:$B$23</c:f>
              <c:strCache>
                <c:ptCount val="11"/>
                <c:pt idx="0">
                  <c:v>1.0950</c:v>
                </c:pt>
                <c:pt idx="1">
                  <c:v>1.1065</c:v>
                </c:pt>
                <c:pt idx="2">
                  <c:v>1.1180</c:v>
                </c:pt>
                <c:pt idx="3">
                  <c:v>1.1295</c:v>
                </c:pt>
                <c:pt idx="4">
                  <c:v>1.1411</c:v>
                </c:pt>
                <c:pt idx="5">
                  <c:v>1.1526</c:v>
                </c:pt>
                <c:pt idx="6">
                  <c:v>1.1641</c:v>
                </c:pt>
                <c:pt idx="7">
                  <c:v>1.1757</c:v>
                </c:pt>
                <c:pt idx="8">
                  <c:v>1.1872</c:v>
                </c:pt>
                <c:pt idx="9">
                  <c:v>1.1987</c:v>
                </c:pt>
                <c:pt idx="10">
                  <c:v>1.2102</c:v>
                </c:pt>
              </c:strCache>
            </c:strRef>
          </c:cat>
          <c:val>
            <c:numRef>
              <c:f>Sensitivity!$C$13:$C$23</c:f>
              <c:numCache>
                <c:formatCode>\$#,##0;"($"#,##0\)</c:formatCode>
                <c:ptCount val="11"/>
                <c:pt idx="0">
                  <c:v>21899400</c:v>
                </c:pt>
                <c:pt idx="1">
                  <c:v>22129920</c:v>
                </c:pt>
                <c:pt idx="2">
                  <c:v>22360440</c:v>
                </c:pt>
                <c:pt idx="3">
                  <c:v>22590960</c:v>
                </c:pt>
                <c:pt idx="4">
                  <c:v>22821480</c:v>
                </c:pt>
                <c:pt idx="5">
                  <c:v>23052000</c:v>
                </c:pt>
                <c:pt idx="6">
                  <c:v>23282520</c:v>
                </c:pt>
                <c:pt idx="7">
                  <c:v>23513040</c:v>
                </c:pt>
                <c:pt idx="8">
                  <c:v>23743560</c:v>
                </c:pt>
                <c:pt idx="9">
                  <c:v>23974080</c:v>
                </c:pt>
                <c:pt idx="10">
                  <c:v>24204600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Sensitivity!D12</c:f>
              <c:strCache>
                <c:ptCount val="1"/>
                <c:pt idx="0">
                  <c:v>Forward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Sensitivity!$B$13:$B$23</c:f>
              <c:strCache>
                <c:ptCount val="11"/>
                <c:pt idx="0">
                  <c:v>1.0950</c:v>
                </c:pt>
                <c:pt idx="1">
                  <c:v>1.1065</c:v>
                </c:pt>
                <c:pt idx="2">
                  <c:v>1.1180</c:v>
                </c:pt>
                <c:pt idx="3">
                  <c:v>1.1295</c:v>
                </c:pt>
                <c:pt idx="4">
                  <c:v>1.1411</c:v>
                </c:pt>
                <c:pt idx="5">
                  <c:v>1.1526</c:v>
                </c:pt>
                <c:pt idx="6">
                  <c:v>1.1641</c:v>
                </c:pt>
                <c:pt idx="7">
                  <c:v>1.1757</c:v>
                </c:pt>
                <c:pt idx="8">
                  <c:v>1.1872</c:v>
                </c:pt>
                <c:pt idx="9">
                  <c:v>1.1987</c:v>
                </c:pt>
                <c:pt idx="10">
                  <c:v>1.2102</c:v>
                </c:pt>
              </c:strCache>
            </c:strRef>
          </c:cat>
          <c:val>
            <c:numRef>
              <c:f>Sensitivity!$D$13:$D$23</c:f>
              <c:numCache>
                <c:formatCode>\$#,##0;"($"#,##0\)</c:formatCode>
                <c:ptCount val="11"/>
                <c:pt idx="0">
                  <c:v>21870000</c:v>
                </c:pt>
                <c:pt idx="1">
                  <c:v>21870000</c:v>
                </c:pt>
                <c:pt idx="2">
                  <c:v>21870000</c:v>
                </c:pt>
                <c:pt idx="3">
                  <c:v>21870000</c:v>
                </c:pt>
                <c:pt idx="4">
                  <c:v>21870000</c:v>
                </c:pt>
                <c:pt idx="5">
                  <c:v>21870000</c:v>
                </c:pt>
                <c:pt idx="6">
                  <c:v>21870000</c:v>
                </c:pt>
                <c:pt idx="7">
                  <c:v>21870000</c:v>
                </c:pt>
                <c:pt idx="8">
                  <c:v>21870000</c:v>
                </c:pt>
                <c:pt idx="9">
                  <c:v>21870000</c:v>
                </c:pt>
                <c:pt idx="10">
                  <c:v>21870000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Sensitivity!E12</c:f>
              <c:strCache>
                <c:ptCount val="1"/>
                <c:pt idx="0">
                  <c:v>Money Market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Sensitivity!$B$13:$B$23</c:f>
              <c:strCache>
                <c:ptCount val="11"/>
                <c:pt idx="0">
                  <c:v>1.0950</c:v>
                </c:pt>
                <c:pt idx="1">
                  <c:v>1.1065</c:v>
                </c:pt>
                <c:pt idx="2">
                  <c:v>1.1180</c:v>
                </c:pt>
                <c:pt idx="3">
                  <c:v>1.1295</c:v>
                </c:pt>
                <c:pt idx="4">
                  <c:v>1.1411</c:v>
                </c:pt>
                <c:pt idx="5">
                  <c:v>1.1526</c:v>
                </c:pt>
                <c:pt idx="6">
                  <c:v>1.1641</c:v>
                </c:pt>
                <c:pt idx="7">
                  <c:v>1.1757</c:v>
                </c:pt>
                <c:pt idx="8">
                  <c:v>1.1872</c:v>
                </c:pt>
                <c:pt idx="9">
                  <c:v>1.1987</c:v>
                </c:pt>
                <c:pt idx="10">
                  <c:v>1.2102</c:v>
                </c:pt>
              </c:strCache>
            </c:strRef>
          </c:cat>
          <c:val>
            <c:numRef>
              <c:f>Sensitivity!$E$13:$E$23</c:f>
              <c:numCache>
                <c:formatCode>\$#,##0;"($"#,##0\)</c:formatCode>
                <c:ptCount val="11"/>
                <c:pt idx="0">
                  <c:v>23367342.1570425</c:v>
                </c:pt>
                <c:pt idx="1">
                  <c:v>23367342.1570425</c:v>
                </c:pt>
                <c:pt idx="2">
                  <c:v>23367342.1570425</c:v>
                </c:pt>
                <c:pt idx="3">
                  <c:v>23367342.1570425</c:v>
                </c:pt>
                <c:pt idx="4">
                  <c:v>23367342.1570425</c:v>
                </c:pt>
                <c:pt idx="5">
                  <c:v>23367342.1570425</c:v>
                </c:pt>
                <c:pt idx="6">
                  <c:v>23367342.1570425</c:v>
                </c:pt>
                <c:pt idx="7">
                  <c:v>23367342.1570425</c:v>
                </c:pt>
                <c:pt idx="8">
                  <c:v>23367342.1570425</c:v>
                </c:pt>
                <c:pt idx="9">
                  <c:v>23367342.1570425</c:v>
                </c:pt>
                <c:pt idx="10">
                  <c:v>23367342.1570425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Sensitivity!F12</c:f>
              <c:strCache>
                <c:ptCount val="1"/>
                <c:pt idx="0">
                  <c:v>Option (Put)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Sensitivity!$B$13:$B$23</c:f>
              <c:strCache>
                <c:ptCount val="11"/>
                <c:pt idx="0">
                  <c:v>1.0950</c:v>
                </c:pt>
                <c:pt idx="1">
                  <c:v>1.1065</c:v>
                </c:pt>
                <c:pt idx="2">
                  <c:v>1.1180</c:v>
                </c:pt>
                <c:pt idx="3">
                  <c:v>1.1295</c:v>
                </c:pt>
                <c:pt idx="4">
                  <c:v>1.1411</c:v>
                </c:pt>
                <c:pt idx="5">
                  <c:v>1.1526</c:v>
                </c:pt>
                <c:pt idx="6">
                  <c:v>1.1641</c:v>
                </c:pt>
                <c:pt idx="7">
                  <c:v>1.1757</c:v>
                </c:pt>
                <c:pt idx="8">
                  <c:v>1.1872</c:v>
                </c:pt>
                <c:pt idx="9">
                  <c:v>1.1987</c:v>
                </c:pt>
                <c:pt idx="10">
                  <c:v>1.2102</c:v>
                </c:pt>
              </c:strCache>
            </c:strRef>
          </c:cat>
          <c:val>
            <c:numRef>
              <c:f>Sensitivity!$F$13:$F$23</c:f>
              <c:numCache>
                <c:formatCode>\$#,##0;"($"#,##0\)</c:formatCode>
                <c:ptCount val="11"/>
                <c:pt idx="0">
                  <c:v>22658014.4166667</c:v>
                </c:pt>
                <c:pt idx="1">
                  <c:v>22658014.4166667</c:v>
                </c:pt>
                <c:pt idx="2">
                  <c:v>22658014.4166667</c:v>
                </c:pt>
                <c:pt idx="3">
                  <c:v>22658014.4166667</c:v>
                </c:pt>
                <c:pt idx="4">
                  <c:v>22658014.4166667</c:v>
                </c:pt>
                <c:pt idx="5">
                  <c:v>22658014.4166667</c:v>
                </c:pt>
                <c:pt idx="6">
                  <c:v>22888534.4166667</c:v>
                </c:pt>
                <c:pt idx="7">
                  <c:v>23119054.4166667</c:v>
                </c:pt>
                <c:pt idx="8">
                  <c:v>23349574.4166667</c:v>
                </c:pt>
                <c:pt idx="9">
                  <c:v>23580094.4166667</c:v>
                </c:pt>
                <c:pt idx="10">
                  <c:v>23810614.4166667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454211"/>
        <c:axId val="34451398"/>
      </c:lineChart>
      <c:catAx>
        <c:axId val="514542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S_T (USD per 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51398"/>
        <c:crosses val="autoZero"/>
        <c:auto val="1"/>
        <c:lblAlgn val="ctr"/>
        <c:lblOffset val="100"/>
        <c:noMultiLvlLbl val="0"/>
      </c:catAx>
      <c:valAx>
        <c:axId val="344513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542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130680</xdr:rowOff>
    </xdr:from>
    <xdr:to>
      <xdr:col>5</xdr:col>
      <xdr:colOff>925920</xdr:colOff>
      <xdr:row>43</xdr:row>
      <xdr:rowOff>110160</xdr:rowOff>
    </xdr:to>
    <xdr:graphicFrame>
      <xdr:nvGraphicFramePr>
        <xdr:cNvPr id="0" name="Chart 1"/>
        <xdr:cNvGraphicFramePr/>
      </xdr:nvGraphicFramePr>
      <xdr:xfrm>
        <a:off x="0" y="4759920"/>
        <a:ext cx="719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1" t="s">
        <v>4</v>
      </c>
    </row>
    <row r="6" customFormat="false" ht="15" hidden="false" customHeight="true" outlineLevel="0" collapsed="false">
      <c r="A6" s="5" t="s">
        <v>5</v>
      </c>
      <c r="B6" s="1" t="s">
        <v>6</v>
      </c>
    </row>
    <row r="7" customFormat="false" ht="15" hidden="false" customHeight="true" outlineLevel="0" collapsed="false">
      <c r="A7" s="5" t="s">
        <v>7</v>
      </c>
      <c r="B7" s="1" t="s">
        <v>8</v>
      </c>
    </row>
    <row r="8" customFormat="false" ht="15" hidden="false" customHeight="true" outlineLevel="0" collapsed="false">
      <c r="A8" s="5" t="s">
        <v>9</v>
      </c>
      <c r="B8" s="1" t="s">
        <v>10</v>
      </c>
    </row>
    <row r="9" customFormat="false" ht="15" hidden="false" customHeight="true" outlineLevel="0" collapsed="false">
      <c r="A9" s="5" t="s">
        <v>11</v>
      </c>
      <c r="B9" s="1" t="s">
        <v>12</v>
      </c>
    </row>
    <row r="11" customFormat="false" ht="15" hidden="false" customHeight="true" outlineLevel="0" collapsed="false">
      <c r="A11" s="6" t="s">
        <v>13</v>
      </c>
    </row>
    <row r="12" customFormat="false" ht="15" hidden="false" customHeight="true" outlineLevel="0" collapsed="false">
      <c r="A12" s="1" t="s">
        <v>14</v>
      </c>
    </row>
    <row r="13" customFormat="false" ht="15" hidden="false" customHeight="true" outlineLevel="0" collapsed="false">
      <c r="A13" s="1" t="s">
        <v>15</v>
      </c>
    </row>
    <row r="14" customFormat="false" ht="15" hidden="false" customHeight="true" outlineLevel="0" collapsed="false">
      <c r="A14" s="1" t="s">
        <v>16</v>
      </c>
    </row>
    <row r="15" customFormat="false" ht="15" hidden="false" customHeight="true" outlineLevel="0" collapsed="false">
      <c r="A15" s="1" t="s">
        <v>17</v>
      </c>
    </row>
    <row r="16" customFormat="false" ht="15" hidden="false" customHeight="true" outlineLevel="0" collapsed="false">
      <c r="A16" s="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5"/>
  </cols>
  <sheetData>
    <row r="1" customFormat="false" ht="19.5" hidden="false" customHeight="true" outlineLevel="0" collapsed="false">
      <c r="A1" s="2" t="s">
        <v>19</v>
      </c>
    </row>
    <row r="3" customFormat="false" ht="15" hidden="false" customHeight="true" outlineLevel="0" collapsed="false">
      <c r="A3" s="5" t="s">
        <v>20</v>
      </c>
    </row>
    <row r="4" customFormat="false" ht="15" hidden="false" customHeight="true" outlineLevel="0" collapsed="false">
      <c r="A4" s="7" t="s">
        <v>21</v>
      </c>
      <c r="B4" s="8" t="s">
        <v>22</v>
      </c>
    </row>
    <row r="5" customFormat="false" ht="15" hidden="false" customHeight="true" outlineLevel="0" collapsed="false">
      <c r="A5" s="9" t="s">
        <v>23</v>
      </c>
      <c r="B5" s="8" t="s">
        <v>24</v>
      </c>
    </row>
    <row r="6" customFormat="false" ht="15" hidden="false" customHeight="true" outlineLevel="0" collapsed="false">
      <c r="A6" s="10" t="s">
        <v>25</v>
      </c>
      <c r="B6" s="8" t="s">
        <v>26</v>
      </c>
    </row>
    <row r="7" customFormat="false" ht="15" hidden="false" customHeight="true" outlineLevel="0" collapsed="false">
      <c r="A7" s="11" t="s">
        <v>27</v>
      </c>
      <c r="B7" s="8" t="s">
        <v>28</v>
      </c>
    </row>
    <row r="10" customFormat="false" ht="15" hidden="false" customHeight="true" outlineLevel="0" collapsed="false">
      <c r="A10" s="6" t="s">
        <v>29</v>
      </c>
      <c r="B10" s="12"/>
    </row>
    <row r="11" customFormat="false" ht="15" hidden="false" customHeight="true" outlineLevel="0" collapsed="false">
      <c r="A11" s="13" t="s">
        <v>30</v>
      </c>
      <c r="B11" s="1" t="s">
        <v>31</v>
      </c>
    </row>
    <row r="12" customFormat="false" ht="15" hidden="false" customHeight="true" outlineLevel="0" collapsed="false">
      <c r="A12" s="13" t="s">
        <v>32</v>
      </c>
      <c r="B12" s="1" t="s">
        <v>33</v>
      </c>
    </row>
    <row r="13" customFormat="false" ht="15" hidden="false" customHeight="true" outlineLevel="0" collapsed="false">
      <c r="A13" s="13" t="s">
        <v>34</v>
      </c>
      <c r="B13" s="1" t="s">
        <v>35</v>
      </c>
    </row>
    <row r="14" customFormat="false" ht="15" hidden="false" customHeight="true" outlineLevel="0" collapsed="false">
      <c r="A14" s="13" t="s">
        <v>36</v>
      </c>
      <c r="B14" s="1" t="s">
        <v>37</v>
      </c>
    </row>
    <row r="15" customFormat="false" ht="15" hidden="false" customHeight="true" outlineLevel="0" collapsed="false">
      <c r="A15" s="13" t="s">
        <v>38</v>
      </c>
      <c r="B15" s="1" t="s">
        <v>39</v>
      </c>
    </row>
    <row r="16" customFormat="false" ht="15" hidden="false" customHeight="true" outlineLevel="0" collapsed="false">
      <c r="A16" s="13" t="s">
        <v>40</v>
      </c>
      <c r="B16" s="1" t="s">
        <v>41</v>
      </c>
    </row>
    <row r="17" customFormat="false" ht="15" hidden="false" customHeight="true" outlineLevel="0" collapsed="false">
      <c r="A17" s="13" t="s">
        <v>42</v>
      </c>
      <c r="B17" s="1" t="s">
        <v>43</v>
      </c>
    </row>
    <row r="18" customFormat="false" ht="15" hidden="false" customHeight="true" outlineLevel="0" collapsed="false">
      <c r="A18" s="13" t="s">
        <v>44</v>
      </c>
      <c r="B18" s="1" t="s">
        <v>45</v>
      </c>
    </row>
    <row r="19" customFormat="false" ht="15" hidden="false" customHeight="true" outlineLevel="0" collapsed="false">
      <c r="A19" s="13" t="s">
        <v>46</v>
      </c>
      <c r="B19" s="1" t="s">
        <v>47</v>
      </c>
    </row>
    <row r="20" customFormat="false" ht="15" hidden="false" customHeight="true" outlineLevel="0" collapsed="false">
      <c r="A20" s="13" t="s">
        <v>48</v>
      </c>
      <c r="B20" s="1" t="s">
        <v>49</v>
      </c>
    </row>
    <row r="21" customFormat="false" ht="15" hidden="false" customHeight="true" outlineLevel="0" collapsed="false">
      <c r="A21" s="13" t="s">
        <v>50</v>
      </c>
      <c r="B21" s="1" t="s">
        <v>51</v>
      </c>
    </row>
    <row r="22" customFormat="false" ht="15" hidden="false" customHeight="true" outlineLevel="0" collapsed="false">
      <c r="A22" s="13" t="s">
        <v>52</v>
      </c>
      <c r="B22" s="1" t="s">
        <v>53</v>
      </c>
    </row>
    <row r="23" customFormat="false" ht="15" hidden="false" customHeight="true" outlineLevel="0" collapsed="false">
      <c r="A23" s="13" t="s">
        <v>54</v>
      </c>
      <c r="B23" s="1" t="s">
        <v>55</v>
      </c>
    </row>
    <row r="24" customFormat="false" ht="15" hidden="false" customHeight="true" outlineLevel="0" collapsed="false">
      <c r="A24" s="13" t="s">
        <v>56</v>
      </c>
      <c r="B24" s="1" t="s">
        <v>57</v>
      </c>
    </row>
    <row r="25" customFormat="false" ht="15" hidden="false" customHeight="true" outlineLevel="0" collapsed="false">
      <c r="A25" s="13" t="s">
        <v>58</v>
      </c>
      <c r="B25" s="1" t="s">
        <v>59</v>
      </c>
    </row>
    <row r="26" customFormat="false" ht="15" hidden="false" customHeight="true" outlineLevel="0" collapsed="false">
      <c r="A26" s="13" t="s">
        <v>60</v>
      </c>
      <c r="B26" s="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38"/>
    <col collapsed="false" customWidth="true" hidden="false" outlineLevel="0" max="5" min="5" style="1" width="55"/>
  </cols>
  <sheetData>
    <row r="1" customFormat="false" ht="19.5" hidden="false" customHeight="true" outlineLevel="0" collapsed="false">
      <c r="A1" s="2" t="s">
        <v>62</v>
      </c>
    </row>
    <row r="3" customFormat="false" ht="15" hidden="false" customHeight="true" outlineLevel="0" collapsed="false">
      <c r="A3" s="6" t="s">
        <v>63</v>
      </c>
      <c r="B3" s="6" t="s">
        <v>64</v>
      </c>
      <c r="C3" s="6" t="s">
        <v>65</v>
      </c>
      <c r="D3" s="6" t="s">
        <v>66</v>
      </c>
      <c r="E3" s="6" t="s">
        <v>67</v>
      </c>
    </row>
    <row r="4" customFormat="false" ht="15" hidden="false" customHeight="true" outlineLevel="0" collapsed="false">
      <c r="A4" s="14" t="s">
        <v>30</v>
      </c>
      <c r="B4" s="8" t="s">
        <v>68</v>
      </c>
      <c r="C4" s="15" t="n">
        <v>20000000</v>
      </c>
      <c r="D4" s="8" t="s">
        <v>69</v>
      </c>
      <c r="E4" s="8" t="s">
        <v>70</v>
      </c>
    </row>
    <row r="5" customFormat="false" ht="15" hidden="false" customHeight="true" outlineLevel="0" collapsed="false">
      <c r="A5" s="14" t="s">
        <v>32</v>
      </c>
      <c r="B5" s="8" t="s">
        <v>71</v>
      </c>
      <c r="C5" s="16" t="n">
        <v>1.1526</v>
      </c>
      <c r="D5" s="8" t="s">
        <v>72</v>
      </c>
      <c r="E5" s="8" t="s">
        <v>73</v>
      </c>
    </row>
    <row r="6" customFormat="false" ht="15" hidden="false" customHeight="true" outlineLevel="0" collapsed="false">
      <c r="A6" s="14" t="s">
        <v>34</v>
      </c>
      <c r="B6" s="8" t="s">
        <v>74</v>
      </c>
      <c r="C6" s="16" t="n">
        <v>1.0935</v>
      </c>
      <c r="D6" s="8" t="s">
        <v>72</v>
      </c>
      <c r="E6" s="8" t="s">
        <v>75</v>
      </c>
    </row>
    <row r="7" customFormat="false" ht="15" hidden="false" customHeight="true" outlineLevel="0" collapsed="false">
      <c r="A7" s="14" t="s">
        <v>36</v>
      </c>
      <c r="B7" s="8" t="s">
        <v>76</v>
      </c>
      <c r="C7" s="17" t="n">
        <v>0.0363</v>
      </c>
      <c r="D7" s="8" t="s">
        <v>77</v>
      </c>
      <c r="E7" s="8" t="s">
        <v>78</v>
      </c>
    </row>
    <row r="8" customFormat="false" ht="15" hidden="false" customHeight="true" outlineLevel="0" collapsed="false">
      <c r="A8" s="14" t="s">
        <v>38</v>
      </c>
      <c r="B8" s="8" t="s">
        <v>79</v>
      </c>
      <c r="C8" s="17" t="n">
        <v>0.0225</v>
      </c>
      <c r="D8" s="8" t="s">
        <v>77</v>
      </c>
      <c r="E8" s="8" t="s">
        <v>80</v>
      </c>
    </row>
    <row r="9" customFormat="false" ht="15" hidden="false" customHeight="true" outlineLevel="0" collapsed="false">
      <c r="A9" s="14" t="s">
        <v>40</v>
      </c>
      <c r="B9" s="8" t="s">
        <v>41</v>
      </c>
      <c r="C9" s="7" t="n">
        <v>365</v>
      </c>
      <c r="D9" s="8" t="s">
        <v>81</v>
      </c>
      <c r="E9" s="8" t="s">
        <v>82</v>
      </c>
    </row>
    <row r="10" customFormat="false" ht="15" hidden="false" customHeight="true" outlineLevel="0" collapsed="false">
      <c r="A10" s="14" t="s">
        <v>42</v>
      </c>
      <c r="B10" s="8" t="s">
        <v>83</v>
      </c>
      <c r="C10" s="9" t="n">
        <v>360</v>
      </c>
      <c r="D10" s="8" t="s">
        <v>81</v>
      </c>
      <c r="E10" s="8" t="s">
        <v>84</v>
      </c>
    </row>
    <row r="11" customFormat="false" ht="15" hidden="false" customHeight="true" outlineLevel="0" collapsed="false">
      <c r="A11" s="14" t="s">
        <v>44</v>
      </c>
      <c r="B11" s="8" t="s">
        <v>85</v>
      </c>
      <c r="C11" s="18" t="n">
        <v>1.1526</v>
      </c>
      <c r="D11" s="8" t="s">
        <v>72</v>
      </c>
      <c r="E11" s="8" t="s">
        <v>86</v>
      </c>
    </row>
    <row r="12" customFormat="false" ht="15" hidden="false" customHeight="true" outlineLevel="0" collapsed="false">
      <c r="A12" s="14" t="s">
        <v>46</v>
      </c>
      <c r="B12" s="8" t="s">
        <v>87</v>
      </c>
      <c r="C12" s="18" t="n">
        <v>1.1526</v>
      </c>
      <c r="D12" s="8" t="s">
        <v>72</v>
      </c>
      <c r="E12" s="8" t="s">
        <v>88</v>
      </c>
    </row>
    <row r="13" customFormat="false" ht="15" hidden="false" customHeight="true" outlineLevel="0" collapsed="false">
      <c r="A13" s="14" t="s">
        <v>48</v>
      </c>
      <c r="B13" s="8" t="s">
        <v>49</v>
      </c>
      <c r="C13" s="19" t="n">
        <v>0.019</v>
      </c>
      <c r="D13" s="8" t="s">
        <v>89</v>
      </c>
      <c r="E13" s="8" t="s">
        <v>90</v>
      </c>
    </row>
    <row r="14" customFormat="false" ht="15" hidden="false" customHeight="true" outlineLevel="0" collapsed="false">
      <c r="A14" s="14" t="s">
        <v>50</v>
      </c>
      <c r="B14" s="8" t="s">
        <v>51</v>
      </c>
      <c r="C14" s="19" t="n">
        <v>0.024</v>
      </c>
      <c r="D14" s="8" t="s">
        <v>89</v>
      </c>
      <c r="E14" s="8" t="s">
        <v>90</v>
      </c>
    </row>
    <row r="15" customFormat="false" ht="15" hidden="false" customHeight="true" outlineLevel="0" collapsed="false">
      <c r="A15" s="14" t="s">
        <v>60</v>
      </c>
      <c r="B15" s="8" t="s">
        <v>91</v>
      </c>
      <c r="C15" s="20" t="n">
        <v>0.01</v>
      </c>
      <c r="D15" s="8" t="s">
        <v>92</v>
      </c>
      <c r="E15" s="8" t="s">
        <v>93</v>
      </c>
    </row>
    <row r="17" customFormat="false" ht="15" hidden="false" customHeight="true" outlineLevel="0" collapsed="false">
      <c r="A17" s="6" t="s">
        <v>94</v>
      </c>
      <c r="B17" s="12"/>
      <c r="C17" s="12"/>
      <c r="D17" s="12"/>
      <c r="E17" s="12"/>
    </row>
    <row r="18" customFormat="false" ht="15" hidden="false" customHeight="true" outlineLevel="0" collapsed="false">
      <c r="A18" s="6" t="s">
        <v>63</v>
      </c>
      <c r="B18" s="6" t="s">
        <v>64</v>
      </c>
      <c r="C18" s="6" t="s">
        <v>65</v>
      </c>
      <c r="D18" s="6" t="s">
        <v>95</v>
      </c>
      <c r="E18" s="6"/>
    </row>
    <row r="19" customFormat="false" ht="15" hidden="false" customHeight="true" outlineLevel="0" collapsed="false">
      <c r="A19" s="14" t="s">
        <v>52</v>
      </c>
      <c r="B19" s="8" t="s">
        <v>96</v>
      </c>
      <c r="C19" s="21" t="n">
        <f aca="false">1+R_USD*T_DAYS/BASIS</f>
        <v>1.03680416666667</v>
      </c>
      <c r="D19" s="8" t="s">
        <v>97</v>
      </c>
    </row>
    <row r="20" customFormat="false" ht="15" hidden="false" customHeight="true" outlineLevel="0" collapsed="false">
      <c r="A20" s="14" t="s">
        <v>54</v>
      </c>
      <c r="B20" s="8" t="s">
        <v>98</v>
      </c>
      <c r="C20" s="21" t="n">
        <f aca="false">1+R_FC*T_DAYS/BASIS</f>
        <v>1.0228125</v>
      </c>
      <c r="D20" s="8" t="s">
        <v>99</v>
      </c>
    </row>
    <row r="21" customFormat="false" ht="15" hidden="false" customHeight="true" outlineLevel="0" collapsed="false">
      <c r="A21" s="14" t="s">
        <v>56</v>
      </c>
      <c r="B21" s="8" t="s">
        <v>100</v>
      </c>
      <c r="C21" s="22" t="n">
        <f aca="false">-PREM_PUT*FC_AMT*DF_USD</f>
        <v>-393985.583333333</v>
      </c>
      <c r="D21" s="8" t="s">
        <v>101</v>
      </c>
    </row>
    <row r="22" customFormat="false" ht="15" hidden="false" customHeight="true" outlineLevel="0" collapsed="false">
      <c r="A22" s="14" t="s">
        <v>58</v>
      </c>
      <c r="B22" s="8" t="s">
        <v>102</v>
      </c>
      <c r="C22" s="22" t="n">
        <f aca="false">-PREM_CALL*FC_AMT*DF_USD</f>
        <v>-497666</v>
      </c>
      <c r="D22" s="8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26"/>
  </cols>
  <sheetData>
    <row r="1" customFormat="false" ht="19.5" hidden="false" customHeight="true" outlineLevel="0" collapsed="false">
      <c r="A1" s="2" t="s">
        <v>104</v>
      </c>
    </row>
    <row r="2" customFormat="false" ht="15" hidden="false" customHeight="true" outlineLevel="0" collapsed="false">
      <c r="A2" s="4" t="s">
        <v>105</v>
      </c>
    </row>
    <row r="4" customFormat="false" ht="15" hidden="false" customHeight="true" outlineLevel="0" collapsed="false">
      <c r="A4" s="5" t="s">
        <v>106</v>
      </c>
      <c r="B4" s="23" t="n">
        <f aca="false">FC_AMT*F0_in</f>
        <v>21870000</v>
      </c>
      <c r="C4" s="4" t="s">
        <v>107</v>
      </c>
    </row>
    <row r="6" customFormat="false" ht="15" hidden="false" customHeight="true" outlineLevel="0" collapsed="false">
      <c r="A6" s="1" t="s">
        <v>108</v>
      </c>
    </row>
    <row r="7" customFormat="false" ht="15" hidden="false" customHeight="true" outlineLevel="0" collapsed="false">
      <c r="A7" s="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26"/>
  </cols>
  <sheetData>
    <row r="1" customFormat="false" ht="19.5" hidden="false" customHeight="true" outlineLevel="0" collapsed="false">
      <c r="A1" s="2" t="s">
        <v>110</v>
      </c>
    </row>
    <row r="2" customFormat="false" ht="15" hidden="false" customHeight="true" outlineLevel="0" collapsed="false">
      <c r="A2" s="4" t="s">
        <v>111</v>
      </c>
    </row>
    <row r="4" customFormat="false" ht="15" hidden="false" customHeight="true" outlineLevel="0" collapsed="false">
      <c r="A4" s="5" t="s">
        <v>112</v>
      </c>
    </row>
    <row r="5" customFormat="false" ht="15" hidden="false" customHeight="true" outlineLevel="0" collapsed="false">
      <c r="A5" s="1" t="s">
        <v>113</v>
      </c>
      <c r="B5" s="24" t="n">
        <f aca="false">FC_AMT/DF_FC</f>
        <v>19553926.0617171</v>
      </c>
      <c r="C5" s="4" t="s">
        <v>114</v>
      </c>
    </row>
    <row r="7" customFormat="false" ht="15" hidden="false" customHeight="true" outlineLevel="0" collapsed="false">
      <c r="A7" s="5" t="s">
        <v>115</v>
      </c>
    </row>
    <row r="8" customFormat="false" ht="15" hidden="false" customHeight="true" outlineLevel="0" collapsed="false">
      <c r="A8" s="1" t="s">
        <v>116</v>
      </c>
      <c r="B8" s="25" t="n">
        <f aca="false">B5*S0_in</f>
        <v>22537855.1787351</v>
      </c>
      <c r="C8" s="4" t="s">
        <v>117</v>
      </c>
    </row>
    <row r="10" customFormat="false" ht="15" hidden="false" customHeight="true" outlineLevel="0" collapsed="false">
      <c r="A10" s="5" t="s">
        <v>118</v>
      </c>
    </row>
    <row r="11" customFormat="false" ht="15" hidden="false" customHeight="true" outlineLevel="0" collapsed="false">
      <c r="A11" s="1" t="s">
        <v>119</v>
      </c>
      <c r="B11" s="23" t="n">
        <f aca="false">B8*DF_USD</f>
        <v>23367342.1570425</v>
      </c>
      <c r="C11" s="4" t="s">
        <v>120</v>
      </c>
    </row>
    <row r="13" customFormat="false" ht="15" hidden="false" customHeight="true" outlineLevel="0" collapsed="false">
      <c r="A13" s="6" t="s">
        <v>121</v>
      </c>
      <c r="B13" s="12"/>
    </row>
    <row r="14" customFormat="false" ht="15" hidden="false" customHeight="true" outlineLevel="0" collapsed="false">
      <c r="A14" s="1" t="s">
        <v>122</v>
      </c>
      <c r="B14" s="26" t="n">
        <f aca="false">S0_in*DF_USD/DF_FC</f>
        <v>1.16836710785212</v>
      </c>
    </row>
    <row r="15" customFormat="false" ht="15" hidden="false" customHeight="true" outlineLevel="0" collapsed="false">
      <c r="A15" s="1" t="s">
        <v>123</v>
      </c>
      <c r="B15" s="26" t="n">
        <f aca="false">F0_in</f>
        <v>1.0935</v>
      </c>
    </row>
    <row r="16" customFormat="false" ht="15" hidden="false" customHeight="true" outlineLevel="0" collapsed="false">
      <c r="A16" s="1" t="s">
        <v>124</v>
      </c>
      <c r="B16" s="26" t="n">
        <f aca="false">B14-B15</f>
        <v>0.0748671078521237</v>
      </c>
    </row>
    <row r="17" customFormat="false" ht="15" hidden="false" customHeight="true" outlineLevel="0" collapsed="false">
      <c r="A17" s="1" t="s">
        <v>125</v>
      </c>
      <c r="B17" s="27" t="str">
        <f aca="false">IF(ABS(B16)&lt;0.01,"PASS","GAP — expected, see Notes tab (F0_in is course-assigned, not market-derived)")</f>
        <v>GAP — expected, see Notes tab (F0_in is course-assigned, not market-derived)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0"/>
  </cols>
  <sheetData>
    <row r="1" customFormat="false" ht="19.5" hidden="false" customHeight="true" outlineLevel="0" collapsed="false">
      <c r="A1" s="2" t="s">
        <v>126</v>
      </c>
    </row>
    <row r="2" customFormat="false" ht="15" hidden="false" customHeight="true" outlineLevel="0" collapsed="false">
      <c r="A2" s="4" t="s">
        <v>127</v>
      </c>
    </row>
    <row r="3" customFormat="false" ht="15" hidden="false" customHeight="true" outlineLevel="0" collapsed="false">
      <c r="A3" s="4" t="s">
        <v>128</v>
      </c>
    </row>
    <row r="5" customFormat="false" ht="15" hidden="false" customHeight="true" outlineLevel="0" collapsed="false">
      <c r="A5" s="6" t="s">
        <v>129</v>
      </c>
      <c r="B5" s="6" t="s">
        <v>130</v>
      </c>
      <c r="C5" s="6" t="s">
        <v>131</v>
      </c>
      <c r="D5" s="6" t="s">
        <v>132</v>
      </c>
      <c r="E5" s="6" t="s">
        <v>133</v>
      </c>
    </row>
    <row r="6" customFormat="false" ht="15" hidden="false" customHeight="true" outlineLevel="0" collapsed="false">
      <c r="A6" s="8" t="n">
        <v>-5</v>
      </c>
      <c r="B6" s="28" t="n">
        <f aca="false">S0_in*(1+A6*STEP_FRAC)</f>
        <v>1.09497</v>
      </c>
      <c r="C6" s="29" t="n">
        <f aca="false">B6*FC_AMT</f>
        <v>21899400</v>
      </c>
      <c r="D6" s="29" t="n">
        <f aca="false">MAX(B6,K_PUT)*FC_AMT+FV_PREM_PUT</f>
        <v>22658014.4166667</v>
      </c>
      <c r="E6" s="29" t="n">
        <f aca="false">MIN(B6,K_CALL)*FC_AMT+FV_PREM_CALL</f>
        <v>21401734</v>
      </c>
    </row>
    <row r="7" customFormat="false" ht="15" hidden="false" customHeight="true" outlineLevel="0" collapsed="false">
      <c r="A7" s="8" t="n">
        <v>-4</v>
      </c>
      <c r="B7" s="28" t="n">
        <f aca="false">S0_in*(1+A7*STEP_FRAC)</f>
        <v>1.106496</v>
      </c>
      <c r="C7" s="29" t="n">
        <f aca="false">B7*FC_AMT</f>
        <v>22129920</v>
      </c>
      <c r="D7" s="29" t="n">
        <f aca="false">MAX(B7,K_PUT)*FC_AMT+FV_PREM_PUT</f>
        <v>22658014.4166667</v>
      </c>
      <c r="E7" s="29" t="n">
        <f aca="false">MIN(B7,K_CALL)*FC_AMT+FV_PREM_CALL</f>
        <v>21632254</v>
      </c>
    </row>
    <row r="8" customFormat="false" ht="15" hidden="false" customHeight="true" outlineLevel="0" collapsed="false">
      <c r="A8" s="8" t="n">
        <v>-3</v>
      </c>
      <c r="B8" s="28" t="n">
        <f aca="false">S0_in*(1+A8*STEP_FRAC)</f>
        <v>1.118022</v>
      </c>
      <c r="C8" s="29" t="n">
        <f aca="false">B8*FC_AMT</f>
        <v>22360440</v>
      </c>
      <c r="D8" s="29" t="n">
        <f aca="false">MAX(B8,K_PUT)*FC_AMT+FV_PREM_PUT</f>
        <v>22658014.4166667</v>
      </c>
      <c r="E8" s="29" t="n">
        <f aca="false">MIN(B8,K_CALL)*FC_AMT+FV_PREM_CALL</f>
        <v>21862774</v>
      </c>
    </row>
    <row r="9" customFormat="false" ht="15" hidden="false" customHeight="true" outlineLevel="0" collapsed="false">
      <c r="A9" s="8" t="n">
        <v>-2</v>
      </c>
      <c r="B9" s="28" t="n">
        <f aca="false">S0_in*(1+A9*STEP_FRAC)</f>
        <v>1.129548</v>
      </c>
      <c r="C9" s="29" t="n">
        <f aca="false">B9*FC_AMT</f>
        <v>22590960</v>
      </c>
      <c r="D9" s="29" t="n">
        <f aca="false">MAX(B9,K_PUT)*FC_AMT+FV_PREM_PUT</f>
        <v>22658014.4166667</v>
      </c>
      <c r="E9" s="29" t="n">
        <f aca="false">MIN(B9,K_CALL)*FC_AMT+FV_PREM_CALL</f>
        <v>22093294</v>
      </c>
    </row>
    <row r="10" customFormat="false" ht="15" hidden="false" customHeight="true" outlineLevel="0" collapsed="false">
      <c r="A10" s="8" t="n">
        <v>-1</v>
      </c>
      <c r="B10" s="28" t="n">
        <f aca="false">S0_in*(1+A10*STEP_FRAC)</f>
        <v>1.141074</v>
      </c>
      <c r="C10" s="29" t="n">
        <f aca="false">B10*FC_AMT</f>
        <v>22821480</v>
      </c>
      <c r="D10" s="29" t="n">
        <f aca="false">MAX(B10,K_PUT)*FC_AMT+FV_PREM_PUT</f>
        <v>22658014.4166667</v>
      </c>
      <c r="E10" s="29" t="n">
        <f aca="false">MIN(B10,K_CALL)*FC_AMT+FV_PREM_CALL</f>
        <v>22323814</v>
      </c>
    </row>
    <row r="11" customFormat="false" ht="15" hidden="false" customHeight="true" outlineLevel="0" collapsed="false">
      <c r="A11" s="8" t="n">
        <v>0</v>
      </c>
      <c r="B11" s="28" t="n">
        <f aca="false">S0_in*(1+A11*STEP_FRAC)</f>
        <v>1.1526</v>
      </c>
      <c r="C11" s="29" t="n">
        <f aca="false">B11*FC_AMT</f>
        <v>23052000</v>
      </c>
      <c r="D11" s="29" t="n">
        <f aca="false">MAX(B11,K_PUT)*FC_AMT+FV_PREM_PUT</f>
        <v>22658014.4166667</v>
      </c>
      <c r="E11" s="29" t="n">
        <f aca="false">MIN(B11,K_CALL)*FC_AMT+FV_PREM_CALL</f>
        <v>22554334</v>
      </c>
    </row>
    <row r="12" customFormat="false" ht="15" hidden="false" customHeight="true" outlineLevel="0" collapsed="false">
      <c r="A12" s="8" t="n">
        <v>1</v>
      </c>
      <c r="B12" s="28" t="n">
        <f aca="false">S0_in*(1+A12*STEP_FRAC)</f>
        <v>1.164126</v>
      </c>
      <c r="C12" s="29" t="n">
        <f aca="false">B12*FC_AMT</f>
        <v>23282520</v>
      </c>
      <c r="D12" s="29" t="n">
        <f aca="false">MAX(B12,K_PUT)*FC_AMT+FV_PREM_PUT</f>
        <v>22888534.4166667</v>
      </c>
      <c r="E12" s="29" t="n">
        <f aca="false">MIN(B12,K_CALL)*FC_AMT+FV_PREM_CALL</f>
        <v>22554334</v>
      </c>
    </row>
    <row r="13" customFormat="false" ht="15" hidden="false" customHeight="true" outlineLevel="0" collapsed="false">
      <c r="A13" s="8" t="n">
        <v>2</v>
      </c>
      <c r="B13" s="28" t="n">
        <f aca="false">S0_in*(1+A13*STEP_FRAC)</f>
        <v>1.175652</v>
      </c>
      <c r="C13" s="29" t="n">
        <f aca="false">B13*FC_AMT</f>
        <v>23513040</v>
      </c>
      <c r="D13" s="29" t="n">
        <f aca="false">MAX(B13,K_PUT)*FC_AMT+FV_PREM_PUT</f>
        <v>23119054.4166667</v>
      </c>
      <c r="E13" s="29" t="n">
        <f aca="false">MIN(B13,K_CALL)*FC_AMT+FV_PREM_CALL</f>
        <v>22554334</v>
      </c>
    </row>
    <row r="14" customFormat="false" ht="15" hidden="false" customHeight="true" outlineLevel="0" collapsed="false">
      <c r="A14" s="8" t="n">
        <v>3</v>
      </c>
      <c r="B14" s="28" t="n">
        <f aca="false">S0_in*(1+A14*STEP_FRAC)</f>
        <v>1.187178</v>
      </c>
      <c r="C14" s="29" t="n">
        <f aca="false">B14*FC_AMT</f>
        <v>23743560</v>
      </c>
      <c r="D14" s="29" t="n">
        <f aca="false">MAX(B14,K_PUT)*FC_AMT+FV_PREM_PUT</f>
        <v>23349574.4166667</v>
      </c>
      <c r="E14" s="29" t="n">
        <f aca="false">MIN(B14,K_CALL)*FC_AMT+FV_PREM_CALL</f>
        <v>22554334</v>
      </c>
    </row>
    <row r="15" customFormat="false" ht="15" hidden="false" customHeight="true" outlineLevel="0" collapsed="false">
      <c r="A15" s="8" t="n">
        <v>4</v>
      </c>
      <c r="B15" s="28" t="n">
        <f aca="false">S0_in*(1+A15*STEP_FRAC)</f>
        <v>1.198704</v>
      </c>
      <c r="C15" s="29" t="n">
        <f aca="false">B15*FC_AMT</f>
        <v>23974080</v>
      </c>
      <c r="D15" s="29" t="n">
        <f aca="false">MAX(B15,K_PUT)*FC_AMT+FV_PREM_PUT</f>
        <v>23580094.4166667</v>
      </c>
      <c r="E15" s="29" t="n">
        <f aca="false">MIN(B15,K_CALL)*FC_AMT+FV_PREM_CALL</f>
        <v>22554334</v>
      </c>
    </row>
    <row r="16" customFormat="false" ht="15" hidden="false" customHeight="true" outlineLevel="0" collapsed="false">
      <c r="A16" s="8" t="n">
        <v>5</v>
      </c>
      <c r="B16" s="28" t="n">
        <f aca="false">S0_in*(1+A16*STEP_FRAC)</f>
        <v>1.21023</v>
      </c>
      <c r="C16" s="29" t="n">
        <f aca="false">B16*FC_AMT</f>
        <v>24204600</v>
      </c>
      <c r="D16" s="29" t="n">
        <f aca="false">MAX(B16,K_PUT)*FC_AMT+FV_PREM_PUT</f>
        <v>23810614.4166667</v>
      </c>
      <c r="E16" s="29" t="n">
        <f aca="false">MIN(B16,K_CALL)*FC_AMT+FV_PREM_CALL</f>
        <v>22554334</v>
      </c>
    </row>
    <row r="18" customFormat="false" ht="15" hidden="false" customHeight="true" outlineLevel="0" collapsed="false">
      <c r="A18" s="5" t="s">
        <v>134</v>
      </c>
      <c r="D18" s="23" t="n">
        <f aca="false">MIN(D6:D16)</f>
        <v>22658014.4166667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"/>
    <col collapsed="false" customWidth="true" hidden="false" outlineLevel="0" max="9" min="3" style="1" width="15"/>
    <col collapsed="false" customWidth="true" hidden="false" outlineLevel="0" max="10" min="10" style="1" width="16"/>
  </cols>
  <sheetData>
    <row r="1" customFormat="false" ht="19.5" hidden="false" customHeight="true" outlineLevel="0" collapsed="false">
      <c r="A1" s="2" t="s">
        <v>135</v>
      </c>
    </row>
    <row r="2" customFormat="false" ht="15" hidden="false" customHeight="true" outlineLevel="0" collapsed="false">
      <c r="A2" s="4" t="s">
        <v>136</v>
      </c>
    </row>
    <row r="4" customFormat="false" ht="15" hidden="false" customHeight="true" outlineLevel="0" collapsed="false">
      <c r="A4" s="6" t="s">
        <v>137</v>
      </c>
      <c r="B4" s="12"/>
    </row>
    <row r="5" customFormat="false" ht="15" hidden="false" customHeight="true" outlineLevel="0" collapsed="false">
      <c r="A5" s="5" t="s">
        <v>138</v>
      </c>
      <c r="B5" s="25" t="n">
        <f aca="false">S0_in*FC_AMT</f>
        <v>23052000</v>
      </c>
    </row>
    <row r="6" customFormat="false" ht="15" hidden="false" customHeight="true" outlineLevel="0" collapsed="false">
      <c r="A6" s="5" t="s">
        <v>139</v>
      </c>
      <c r="B6" s="23" t="n">
        <f aca="false">Forward!B4</f>
        <v>21870000</v>
      </c>
    </row>
    <row r="7" customFormat="false" ht="15" hidden="false" customHeight="true" outlineLevel="0" collapsed="false">
      <c r="A7" s="5" t="s">
        <v>140</v>
      </c>
      <c r="B7" s="23" t="n">
        <f aca="false">MoneyMarket!B11</f>
        <v>23367342.1570425</v>
      </c>
    </row>
    <row r="8" customFormat="false" ht="15" hidden="false" customHeight="true" outlineLevel="0" collapsed="false">
      <c r="A8" s="5" t="s">
        <v>141</v>
      </c>
      <c r="B8" s="25" t="n">
        <f aca="false">MAX(S0_in,K_PUT)*FC_AMT+FV_PREM_PUT</f>
        <v>22658014.4166667</v>
      </c>
    </row>
    <row r="9" customFormat="false" ht="15" hidden="false" customHeight="true" outlineLevel="0" collapsed="false">
      <c r="A9" s="5" t="s">
        <v>142</v>
      </c>
      <c r="B9" s="23" t="n">
        <f aca="false">Options!D18</f>
        <v>22658014.4166667</v>
      </c>
    </row>
    <row r="12" customFormat="false" ht="15" hidden="false" customHeight="true" outlineLevel="0" collapsed="false">
      <c r="A12" s="6" t="s">
        <v>129</v>
      </c>
      <c r="B12" s="6" t="s">
        <v>130</v>
      </c>
      <c r="C12" s="6" t="s">
        <v>131</v>
      </c>
      <c r="D12" s="6" t="s">
        <v>143</v>
      </c>
      <c r="E12" s="6" t="s">
        <v>144</v>
      </c>
      <c r="F12" s="6" t="s">
        <v>145</v>
      </c>
      <c r="G12" s="6" t="s">
        <v>146</v>
      </c>
      <c r="H12" s="6" t="s">
        <v>147</v>
      </c>
      <c r="I12" s="6" t="s">
        <v>148</v>
      </c>
      <c r="J12" s="6" t="s">
        <v>149</v>
      </c>
    </row>
    <row r="13" customFormat="false" ht="15" hidden="false" customHeight="true" outlineLevel="0" collapsed="false">
      <c r="A13" s="8" t="n">
        <v>-5</v>
      </c>
      <c r="B13" s="28" t="n">
        <f aca="false">S0_in*(1+A13*STEP_FRAC)</f>
        <v>1.09497</v>
      </c>
      <c r="C13" s="29" t="n">
        <f aca="false">B13*FC_AMT</f>
        <v>21899400</v>
      </c>
      <c r="D13" s="29" t="n">
        <f aca="false">Forward!$B$4</f>
        <v>21870000</v>
      </c>
      <c r="E13" s="29" t="n">
        <f aca="false">MoneyMarket!$B$11</f>
        <v>23367342.1570425</v>
      </c>
      <c r="F13" s="29" t="n">
        <f aca="false">MAX(B13,K_PUT)*FC_AMT+FV_PREM_PUT</f>
        <v>22658014.4166667</v>
      </c>
      <c r="G13" s="29" t="n">
        <f aca="false">D13-C13</f>
        <v>-29400</v>
      </c>
      <c r="H13" s="29" t="n">
        <f aca="false">E13-C13</f>
        <v>1467942.15704248</v>
      </c>
      <c r="I13" s="29" t="n">
        <f aca="false">F13-C13</f>
        <v>758614.416666668</v>
      </c>
      <c r="J13" s="10" t="str">
        <f aca="false">IF(AND(D13&gt;=E13,D13&gt;=F13),"Forward",IF(E13&gt;=F13,"Money Market","Put Option"))</f>
        <v>Money Market</v>
      </c>
    </row>
    <row r="14" customFormat="false" ht="15" hidden="false" customHeight="true" outlineLevel="0" collapsed="false">
      <c r="A14" s="8" t="n">
        <v>-4</v>
      </c>
      <c r="B14" s="28" t="n">
        <f aca="false">S0_in*(1+A14*STEP_FRAC)</f>
        <v>1.106496</v>
      </c>
      <c r="C14" s="29" t="n">
        <f aca="false">B14*FC_AMT</f>
        <v>22129920</v>
      </c>
      <c r="D14" s="29" t="n">
        <f aca="false">Forward!$B$4</f>
        <v>21870000</v>
      </c>
      <c r="E14" s="29" t="n">
        <f aca="false">MoneyMarket!$B$11</f>
        <v>23367342.1570425</v>
      </c>
      <c r="F14" s="29" t="n">
        <f aca="false">MAX(B14,K_PUT)*FC_AMT+FV_PREM_PUT</f>
        <v>22658014.4166667</v>
      </c>
      <c r="G14" s="29" t="n">
        <f aca="false">D14-C14</f>
        <v>-259920</v>
      </c>
      <c r="H14" s="29" t="n">
        <f aca="false">E14-C14</f>
        <v>1237422.15704248</v>
      </c>
      <c r="I14" s="29" t="n">
        <f aca="false">F14-C14</f>
        <v>528094.416666668</v>
      </c>
      <c r="J14" s="10" t="str">
        <f aca="false">IF(AND(D14&gt;=E14,D14&gt;=F14),"Forward",IF(E14&gt;=F14,"Money Market","Put Option"))</f>
        <v>Money Market</v>
      </c>
    </row>
    <row r="15" customFormat="false" ht="15" hidden="false" customHeight="true" outlineLevel="0" collapsed="false">
      <c r="A15" s="8" t="n">
        <v>-3</v>
      </c>
      <c r="B15" s="28" t="n">
        <f aca="false">S0_in*(1+A15*STEP_FRAC)</f>
        <v>1.118022</v>
      </c>
      <c r="C15" s="29" t="n">
        <f aca="false">B15*FC_AMT</f>
        <v>22360440</v>
      </c>
      <c r="D15" s="29" t="n">
        <f aca="false">Forward!$B$4</f>
        <v>21870000</v>
      </c>
      <c r="E15" s="29" t="n">
        <f aca="false">MoneyMarket!$B$11</f>
        <v>23367342.1570425</v>
      </c>
      <c r="F15" s="29" t="n">
        <f aca="false">MAX(B15,K_PUT)*FC_AMT+FV_PREM_PUT</f>
        <v>22658014.4166667</v>
      </c>
      <c r="G15" s="29" t="n">
        <f aca="false">D15-C15</f>
        <v>-490440</v>
      </c>
      <c r="H15" s="29" t="n">
        <f aca="false">E15-C15</f>
        <v>1006902.15704248</v>
      </c>
      <c r="I15" s="29" t="n">
        <f aca="false">F15-C15</f>
        <v>297574.416666668</v>
      </c>
      <c r="J15" s="10" t="str">
        <f aca="false">IF(AND(D15&gt;=E15,D15&gt;=F15),"Forward",IF(E15&gt;=F15,"Money Market","Put Option"))</f>
        <v>Money Market</v>
      </c>
    </row>
    <row r="16" customFormat="false" ht="15" hidden="false" customHeight="true" outlineLevel="0" collapsed="false">
      <c r="A16" s="8" t="n">
        <v>-2</v>
      </c>
      <c r="B16" s="28" t="n">
        <f aca="false">S0_in*(1+A16*STEP_FRAC)</f>
        <v>1.129548</v>
      </c>
      <c r="C16" s="29" t="n">
        <f aca="false">B16*FC_AMT</f>
        <v>22590960</v>
      </c>
      <c r="D16" s="29" t="n">
        <f aca="false">Forward!$B$4</f>
        <v>21870000</v>
      </c>
      <c r="E16" s="29" t="n">
        <f aca="false">MoneyMarket!$B$11</f>
        <v>23367342.1570425</v>
      </c>
      <c r="F16" s="29" t="n">
        <f aca="false">MAX(B16,K_PUT)*FC_AMT+FV_PREM_PUT</f>
        <v>22658014.4166667</v>
      </c>
      <c r="G16" s="29" t="n">
        <f aca="false">D16-C16</f>
        <v>-720960</v>
      </c>
      <c r="H16" s="29" t="n">
        <f aca="false">E16-C16</f>
        <v>776382.157042477</v>
      </c>
      <c r="I16" s="29" t="n">
        <f aca="false">F16-C16</f>
        <v>67054.4166666679</v>
      </c>
      <c r="J16" s="10" t="str">
        <f aca="false">IF(AND(D16&gt;=E16,D16&gt;=F16),"Forward",IF(E16&gt;=F16,"Money Market","Put Option"))</f>
        <v>Money Market</v>
      </c>
    </row>
    <row r="17" customFormat="false" ht="15" hidden="false" customHeight="true" outlineLevel="0" collapsed="false">
      <c r="A17" s="8" t="n">
        <v>-1</v>
      </c>
      <c r="B17" s="28" t="n">
        <f aca="false">S0_in*(1+A17*STEP_FRAC)</f>
        <v>1.141074</v>
      </c>
      <c r="C17" s="29" t="n">
        <f aca="false">B17*FC_AMT</f>
        <v>22821480</v>
      </c>
      <c r="D17" s="29" t="n">
        <f aca="false">Forward!$B$4</f>
        <v>21870000</v>
      </c>
      <c r="E17" s="29" t="n">
        <f aca="false">MoneyMarket!$B$11</f>
        <v>23367342.1570425</v>
      </c>
      <c r="F17" s="29" t="n">
        <f aca="false">MAX(B17,K_PUT)*FC_AMT+FV_PREM_PUT</f>
        <v>22658014.4166667</v>
      </c>
      <c r="G17" s="29" t="n">
        <f aca="false">D17-C17</f>
        <v>-951480.000000004</v>
      </c>
      <c r="H17" s="29" t="n">
        <f aca="false">E17-C17</f>
        <v>545862.157042474</v>
      </c>
      <c r="I17" s="29" t="n">
        <f aca="false">F17-C17</f>
        <v>-163465.583333336</v>
      </c>
      <c r="J17" s="10" t="str">
        <f aca="false">IF(AND(D17&gt;=E17,D17&gt;=F17),"Forward",IF(E17&gt;=F17,"Money Market","Put Option"))</f>
        <v>Money Market</v>
      </c>
    </row>
    <row r="18" customFormat="false" ht="15" hidden="false" customHeight="true" outlineLevel="0" collapsed="false">
      <c r="A18" s="8" t="n">
        <v>0</v>
      </c>
      <c r="B18" s="28" t="n">
        <f aca="false">S0_in*(1+A18*STEP_FRAC)</f>
        <v>1.1526</v>
      </c>
      <c r="C18" s="29" t="n">
        <f aca="false">B18*FC_AMT</f>
        <v>23052000</v>
      </c>
      <c r="D18" s="29" t="n">
        <f aca="false">Forward!$B$4</f>
        <v>21870000</v>
      </c>
      <c r="E18" s="29" t="n">
        <f aca="false">MoneyMarket!$B$11</f>
        <v>23367342.1570425</v>
      </c>
      <c r="F18" s="29" t="n">
        <f aca="false">MAX(B18,K_PUT)*FC_AMT+FV_PREM_PUT</f>
        <v>22658014.4166667</v>
      </c>
      <c r="G18" s="29" t="n">
        <f aca="false">D18-C18</f>
        <v>-1182000</v>
      </c>
      <c r="H18" s="29" t="n">
        <f aca="false">E18-C18</f>
        <v>315342.157042477</v>
      </c>
      <c r="I18" s="29" t="n">
        <f aca="false">F18-C18</f>
        <v>-393985.583333332</v>
      </c>
      <c r="J18" s="10" t="str">
        <f aca="false">IF(AND(D18&gt;=E18,D18&gt;=F18),"Forward",IF(E18&gt;=F18,"Money Market","Put Option"))</f>
        <v>Money Market</v>
      </c>
    </row>
    <row r="19" customFormat="false" ht="15" hidden="false" customHeight="true" outlineLevel="0" collapsed="false">
      <c r="A19" s="8" t="n">
        <v>1</v>
      </c>
      <c r="B19" s="28" t="n">
        <f aca="false">S0_in*(1+A19*STEP_FRAC)</f>
        <v>1.164126</v>
      </c>
      <c r="C19" s="29" t="n">
        <f aca="false">B19*FC_AMT</f>
        <v>23282520</v>
      </c>
      <c r="D19" s="29" t="n">
        <f aca="false">Forward!$B$4</f>
        <v>21870000</v>
      </c>
      <c r="E19" s="29" t="n">
        <f aca="false">MoneyMarket!$B$11</f>
        <v>23367342.1570425</v>
      </c>
      <c r="F19" s="29" t="n">
        <f aca="false">MAX(B19,K_PUT)*FC_AMT+FV_PREM_PUT</f>
        <v>22888534.4166667</v>
      </c>
      <c r="G19" s="29" t="n">
        <f aca="false">D19-C19</f>
        <v>-1412520</v>
      </c>
      <c r="H19" s="29" t="n">
        <f aca="false">E19-C19</f>
        <v>84822.1570424773</v>
      </c>
      <c r="I19" s="29" t="n">
        <f aca="false">F19-C19</f>
        <v>-393985.583333332</v>
      </c>
      <c r="J19" s="10" t="str">
        <f aca="false">IF(AND(D19&gt;=E19,D19&gt;=F19),"Forward",IF(E19&gt;=F19,"Money Market","Put Option"))</f>
        <v>Money Market</v>
      </c>
    </row>
    <row r="20" customFormat="false" ht="15" hidden="false" customHeight="true" outlineLevel="0" collapsed="false">
      <c r="A20" s="8" t="n">
        <v>2</v>
      </c>
      <c r="B20" s="28" t="n">
        <f aca="false">S0_in*(1+A20*STEP_FRAC)</f>
        <v>1.175652</v>
      </c>
      <c r="C20" s="29" t="n">
        <f aca="false">B20*FC_AMT</f>
        <v>23513040</v>
      </c>
      <c r="D20" s="29" t="n">
        <f aca="false">Forward!$B$4</f>
        <v>21870000</v>
      </c>
      <c r="E20" s="29" t="n">
        <f aca="false">MoneyMarket!$B$11</f>
        <v>23367342.1570425</v>
      </c>
      <c r="F20" s="29" t="n">
        <f aca="false">MAX(B20,K_PUT)*FC_AMT+FV_PREM_PUT</f>
        <v>23119054.4166667</v>
      </c>
      <c r="G20" s="29" t="n">
        <f aca="false">D20-C20</f>
        <v>-1643040</v>
      </c>
      <c r="H20" s="29" t="n">
        <f aca="false">E20-C20</f>
        <v>-145697.842957526</v>
      </c>
      <c r="I20" s="29" t="n">
        <f aca="false">F20-C20</f>
        <v>-393985.583333332</v>
      </c>
      <c r="J20" s="10" t="str">
        <f aca="false">IF(AND(D20&gt;=E20,D20&gt;=F20),"Forward",IF(E20&gt;=F20,"Money Market","Put Option"))</f>
        <v>Money Market</v>
      </c>
    </row>
    <row r="21" customFormat="false" ht="15" hidden="false" customHeight="true" outlineLevel="0" collapsed="false">
      <c r="A21" s="8" t="n">
        <v>3</v>
      </c>
      <c r="B21" s="28" t="n">
        <f aca="false">S0_in*(1+A21*STEP_FRAC)</f>
        <v>1.187178</v>
      </c>
      <c r="C21" s="29" t="n">
        <f aca="false">B21*FC_AMT</f>
        <v>23743560</v>
      </c>
      <c r="D21" s="29" t="n">
        <f aca="false">Forward!$B$4</f>
        <v>21870000</v>
      </c>
      <c r="E21" s="29" t="n">
        <f aca="false">MoneyMarket!$B$11</f>
        <v>23367342.1570425</v>
      </c>
      <c r="F21" s="29" t="n">
        <f aca="false">MAX(B21,K_PUT)*FC_AMT+FV_PREM_PUT</f>
        <v>23349574.4166667</v>
      </c>
      <c r="G21" s="29" t="n">
        <f aca="false">D21-C21</f>
        <v>-1873560</v>
      </c>
      <c r="H21" s="29" t="n">
        <f aca="false">E21-C21</f>
        <v>-376217.842957523</v>
      </c>
      <c r="I21" s="29" t="n">
        <f aca="false">F21-C21</f>
        <v>-393985.583333332</v>
      </c>
      <c r="J21" s="10" t="str">
        <f aca="false">IF(AND(D21&gt;=E21,D21&gt;=F21),"Forward",IF(E21&gt;=F21,"Money Market","Put Option"))</f>
        <v>Money Market</v>
      </c>
    </row>
    <row r="22" customFormat="false" ht="15" hidden="false" customHeight="true" outlineLevel="0" collapsed="false">
      <c r="A22" s="8" t="n">
        <v>4</v>
      </c>
      <c r="B22" s="28" t="n">
        <f aca="false">S0_in*(1+A22*STEP_FRAC)</f>
        <v>1.198704</v>
      </c>
      <c r="C22" s="29" t="n">
        <f aca="false">B22*FC_AMT</f>
        <v>23974080</v>
      </c>
      <c r="D22" s="29" t="n">
        <f aca="false">Forward!$B$4</f>
        <v>21870000</v>
      </c>
      <c r="E22" s="29" t="n">
        <f aca="false">MoneyMarket!$B$11</f>
        <v>23367342.1570425</v>
      </c>
      <c r="F22" s="29" t="n">
        <f aca="false">MAX(B22,K_PUT)*FC_AMT+FV_PREM_PUT</f>
        <v>23580094.4166667</v>
      </c>
      <c r="G22" s="29" t="n">
        <f aca="false">D22-C22</f>
        <v>-2104080</v>
      </c>
      <c r="H22" s="29" t="n">
        <f aca="false">E22-C22</f>
        <v>-606737.842957526</v>
      </c>
      <c r="I22" s="29" t="n">
        <f aca="false">F22-C22</f>
        <v>-393985.583333332</v>
      </c>
      <c r="J22" s="10" t="str">
        <f aca="false">IF(AND(D22&gt;=E22,D22&gt;=F22),"Forward",IF(E22&gt;=F22,"Money Market","Put Option"))</f>
        <v>Put Option</v>
      </c>
    </row>
    <row r="23" customFormat="false" ht="15" hidden="false" customHeight="true" outlineLevel="0" collapsed="false">
      <c r="A23" s="8" t="n">
        <v>5</v>
      </c>
      <c r="B23" s="28" t="n">
        <f aca="false">S0_in*(1+A23*STEP_FRAC)</f>
        <v>1.21023</v>
      </c>
      <c r="C23" s="29" t="n">
        <f aca="false">B23*FC_AMT</f>
        <v>24204600</v>
      </c>
      <c r="D23" s="29" t="n">
        <f aca="false">Forward!$B$4</f>
        <v>21870000</v>
      </c>
      <c r="E23" s="29" t="n">
        <f aca="false">MoneyMarket!$B$11</f>
        <v>23367342.1570425</v>
      </c>
      <c r="F23" s="29" t="n">
        <f aca="false">MAX(B23,K_PUT)*FC_AMT+FV_PREM_PUT</f>
        <v>23810614.4166667</v>
      </c>
      <c r="G23" s="29" t="n">
        <f aca="false">D23-C23</f>
        <v>-2334600</v>
      </c>
      <c r="H23" s="29" t="n">
        <f aca="false">E23-C23</f>
        <v>-837257.842957526</v>
      </c>
      <c r="I23" s="29" t="n">
        <f aca="false">F23-C23</f>
        <v>-393985.583333332</v>
      </c>
      <c r="J23" s="10" t="str">
        <f aca="false">IF(AND(D23&gt;=E23,D23&gt;=F23),"Forward",IF(E23&gt;=F23,"Money Market","Put Option"))</f>
        <v>Put Option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9.5" hidden="false" customHeight="true" outlineLevel="0" collapsed="false">
      <c r="A1" s="2" t="s">
        <v>150</v>
      </c>
    </row>
    <row r="3" customFormat="false" ht="15" hidden="false" customHeight="true" outlineLevel="0" collapsed="false">
      <c r="A3" s="1" t="s">
        <v>151</v>
      </c>
    </row>
    <row r="4" customFormat="false" ht="15" hidden="false" customHeight="true" outlineLevel="0" collapsed="false">
      <c r="A4" s="1" t="s">
        <v>152</v>
      </c>
    </row>
    <row r="5" customFormat="false" ht="15" hidden="false" customHeight="true" outlineLevel="0" collapsed="false">
      <c r="A5" s="1" t="s">
        <v>153</v>
      </c>
    </row>
    <row r="6" customFormat="false" ht="15" hidden="false" customHeight="true" outlineLevel="0" collapsed="false">
      <c r="A6" s="1" t="s">
        <v>154</v>
      </c>
    </row>
    <row r="7" customFormat="false" ht="15" hidden="false" customHeight="true" outlineLevel="0" collapsed="false">
      <c r="A7" s="1" t="s">
        <v>155</v>
      </c>
    </row>
    <row r="8" customFormat="false" ht="15" hidden="false" customHeight="true" outlineLevel="0" collapsed="false">
      <c r="A8" s="1" t="s">
        <v>156</v>
      </c>
    </row>
    <row r="9" customFormat="false" ht="15" hidden="false" customHeight="true" outlineLevel="0" collapsed="false">
      <c r="A9" s="1" t="s">
        <v>157</v>
      </c>
    </row>
    <row r="10" customFormat="false" ht="15" hidden="false" customHeight="true" outlineLevel="0" collapsed="false">
      <c r="A10" s="1" t="s">
        <v>158</v>
      </c>
    </row>
    <row r="11" customFormat="false" ht="15" hidden="false" customHeight="true" outlineLevel="0" collapsed="false">
      <c r="A11" s="1" t="s">
        <v>159</v>
      </c>
    </row>
    <row r="12" customFormat="false" ht="15" hidden="false" customHeight="true" outlineLevel="0" collapsed="false">
      <c r="A12" s="1" t="s">
        <v>160</v>
      </c>
    </row>
    <row r="13" customFormat="false" ht="15" hidden="false" customHeight="true" outlineLevel="0" collapsed="false">
      <c r="A13" s="1" t="s">
        <v>161</v>
      </c>
    </row>
    <row r="14" customFormat="false" ht="15" hidden="false" customHeight="true" outlineLevel="0" collapsed="false">
      <c r="A14" s="1" t="s">
        <v>162</v>
      </c>
    </row>
    <row r="15" customFormat="false" ht="15" hidden="false" customHeight="true" outlineLevel="0" collapsed="false">
      <c r="A15" s="1" t="s">
        <v>163</v>
      </c>
    </row>
    <row r="16" customFormat="false" ht="15" hidden="false" customHeight="true" outlineLevel="0" collapsed="false">
      <c r="A16" s="1" t="s">
        <v>164</v>
      </c>
    </row>
    <row r="17" customFormat="false" ht="15" hidden="false" customHeight="true" outlineLevel="0" collapsed="false">
      <c r="A17" s="1" t="s">
        <v>165</v>
      </c>
    </row>
    <row r="19" customFormat="false" ht="15" hidden="false" customHeight="true" outlineLevel="0" collapsed="false">
      <c r="A19" s="1" t="s">
        <v>166</v>
      </c>
    </row>
    <row r="20" customFormat="false" ht="15" hidden="false" customHeight="true" outlineLevel="0" collapsed="false">
      <c r="A20" s="1" t="s">
        <v>167</v>
      </c>
    </row>
    <row r="21" customFormat="false" ht="15" hidden="false" customHeight="true" outlineLevel="0" collapsed="false">
      <c r="A21" s="1" t="s">
        <v>168</v>
      </c>
    </row>
    <row r="22" customFormat="false" ht="15" hidden="false" customHeight="true" outlineLevel="0" collapsed="false">
      <c r="A22" s="1" t="s">
        <v>169</v>
      </c>
    </row>
    <row r="23" customFormat="false" ht="15" hidden="false" customHeight="true" outlineLevel="0" collapsed="false">
      <c r="A23" s="1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2026-08-05T20:14:07Z</dcterms:created>
  <dc:creator>openpyxl</dc:creator>
  <dc:description/>
  <dc:language>en-US</dc:language>
  <cp:lastModifiedBy/>
  <dcterms:modified xsi:type="dcterms:W3CDTF">2026-08-05T20:15:48Z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